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P\Downloads\"/>
    </mc:Choice>
  </mc:AlternateContent>
  <xr:revisionPtr revIDLastSave="0" documentId="13_ncr:1_{D0C51772-017B-4A09-AD17-656B47329656}" xr6:coauthVersionLast="47" xr6:coauthVersionMax="47" xr10:uidLastSave="{00000000-0000-0000-0000-000000000000}"/>
  <bookViews>
    <workbookView xWindow="-108" yWindow="-108" windowWidth="23256" windowHeight="12456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fileRecoveryPr repairLoad="1"/>
</workbook>
</file>

<file path=xl/calcChain.xml><?xml version="1.0" encoding="utf-8"?>
<calcChain xmlns="http://schemas.openxmlformats.org/spreadsheetml/2006/main">
  <c r="C23" i="20" l="1"/>
  <c r="C24" i="20"/>
  <c r="C25" i="20"/>
  <c r="C26" i="20"/>
  <c r="C27" i="20"/>
  <c r="C28" i="20"/>
  <c r="C29" i="20"/>
  <c r="C30" i="20"/>
  <c r="C31" i="20"/>
  <c r="C32" i="20"/>
  <c r="C33" i="20"/>
  <c r="C34" i="20"/>
  <c r="C35" i="20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C22" i="19"/>
  <c r="H41" i="1"/>
  <c r="E28" i="18" l="1"/>
  <c r="D30" i="18"/>
  <c r="F28" i="18"/>
  <c r="F30" i="18"/>
  <c r="C29" i="18"/>
  <c r="E30" i="18"/>
  <c r="F29" i="18"/>
  <c r="D28" i="18"/>
  <c r="C28" i="18"/>
  <c r="C30" i="18"/>
  <c r="E29" i="18"/>
  <c r="D29" i="18"/>
  <c r="B30" i="18"/>
  <c r="B29" i="18"/>
  <c r="B28" i="18"/>
</calcChain>
</file>

<file path=xl/sharedStrings.xml><?xml version="1.0" encoding="utf-8"?>
<sst xmlns="http://schemas.openxmlformats.org/spreadsheetml/2006/main" count="407" uniqueCount="184">
  <si>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</si>
  <si>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</si>
  <si>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</si>
  <si>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</si>
  <si>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</si>
  <si>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</si>
  <si>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</si>
  <si>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</si>
  <si>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</si>
  <si>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</si>
  <si>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</si>
  <si>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</si>
  <si>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</si>
  <si>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</si>
  <si>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</si>
  <si>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</si>
  <si>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</si>
  <si>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</si>
  <si>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</si>
  <si>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</si>
  <si>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</si>
  <si>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</si>
  <si>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</si>
  <si>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</si>
  <si>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</si>
  <si>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</si>
  <si>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</si>
  <si>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</si>
  <si>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</si>
  <si>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</si>
  <si>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</si>
  <si>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</si>
  <si>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</si>
  <si>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</si>
  <si>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</si>
  <si>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</si>
  <si>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</si>
  <si>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</si>
  <si>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</si>
  <si>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</si>
  <si>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</si>
  <si>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</si>
  <si>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</si>
  <si>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</si>
  <si>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</si>
  <si>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</si>
  <si>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</si>
  <si>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</si>
  <si>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</si>
  <si>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</si>
  <si>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</si>
  <si>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</si>
  <si>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</si>
  <si>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</si>
  <si>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</si>
  <si>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</si>
  <si>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</si>
  <si>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</si>
  <si>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</si>
  <si>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</si>
  <si>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</si>
  <si>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</si>
  <si>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</si>
  <si>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</si>
  <si>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</si>
  <si>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</si>
  <si>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</si>
  <si>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</si>
  <si>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</si>
  <si>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</si>
  <si>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</si>
  <si>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</si>
  <si>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</si>
  <si>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</si>
  <si>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</si>
  <si>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</si>
  <si>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</si>
  <si>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</si>
  <si>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</si>
  <si>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</si>
  <si>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</si>
  <si>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</si>
  <si>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</si>
  <si>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</si>
  <si>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</si>
  <si>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</si>
  <si>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</si>
  <si>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</si>
  <si>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</si>
  <si>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</si>
  <si>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</si>
  <si>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</si>
  <si>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</si>
  <si>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</si>
  <si>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</si>
  <si>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</si>
  <si>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</si>
  <si>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</si>
  <si>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</si>
  <si>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</si>
  <si>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</si>
  <si>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</si>
  <si>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</si>
  <si>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</si>
  <si>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</si>
  <si>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</si>
  <si>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</si>
  <si>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</si>
  <si>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</si>
  <si>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</si>
  <si>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</si>
  <si>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</si>
  <si>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</si>
  <si>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</si>
  <si>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</si>
  <si>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</si>
  <si>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</si>
  <si>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</si>
  <si>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</si>
  <si>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</si>
  <si>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</si>
  <si>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</si>
  <si>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</si>
  <si>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</si>
  <si>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</si>
  <si>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</si>
  <si>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</si>
  <si>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</si>
  <si>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</si>
  <si>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</si>
  <si>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</si>
  <si>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</si>
  <si>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</si>
  <si>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</si>
  <si>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</si>
  <si>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</si>
  <si>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</si>
  <si>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</si>
  <si>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</si>
  <si>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</si>
  <si>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</si>
  <si>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</si>
  <si>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</si>
  <si>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</si>
  <si>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</si>
  <si>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</si>
  <si>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</si>
  <si>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</si>
  <si>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</si>
  <si>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</si>
  <si>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</si>
  <si>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</si>
  <si>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</si>
  <si>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</si>
  <si>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</si>
  <si>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</si>
  <si>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</si>
  <si>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</si>
  <si>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</si>
  <si>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</si>
  <si>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</si>
  <si>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</si>
  <si>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</si>
  <si>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</si>
  <si>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</si>
  <si>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</si>
  <si>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</si>
  <si>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</si>
  <si>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</si>
  <si>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</si>
  <si>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</si>
  <si>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</si>
  <si>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</si>
  <si>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</si>
  <si>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</si>
  <si>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</si>
  <si>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</si>
  <si>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#=SUMIF(H2:H40, "&gt;20",H2:H40)</t>
  </si>
  <si>
    <t>Text to columns</t>
  </si>
  <si>
    <t>Copied the the data in the values to col_1, selected the entire data again and applied the text to columns function. Chose the delimiters as '-' and column data format as general.</t>
  </si>
  <si>
    <t>Selected the sales column and replaced all #N/A with 20</t>
  </si>
  <si>
    <t>Find and Select- Replace</t>
  </si>
  <si>
    <t>formula=INDEX($B$9:$J$18, MATCH(VLOOKUP(A23, $M$9:$N$18, 2, FALSE), $A$9:$A$18, 0), MATCH(VLOOKUP(B23, $M$9:$N$18, 2, FALSE), $B$9:$J$9, 0))</t>
  </si>
  <si>
    <t xml:space="preserve"> Vlookup to finds the name in Table_B corresponding to the ID in name_1. Match to determines the row number in Table_A where the VLOOKUP result is located. Again MATCH to determine the column number in Table_A where the name from name_2 is located.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</si>
</sst>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color theme="1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4" fillId="0" borderId="0" xfId="0" applyFont="1"/>
    <xf numFmtId="0" fontId="15" fillId="0" borderId="0" xfId="0" applyFont="1"/>
    <xf numFmtId="0" fontId="16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3" fillId="0" borderId="0" xfId="0" applyNumberFormat="1" applyFont="1"/>
    <xf numFmtId="49" fontId="3" fillId="0" borderId="0" xfId="0" applyNumberFormat="1" applyFont="1"/>
    <xf numFmtId="0" fontId="17" fillId="0" borderId="0" xfId="0" applyFont="1"/>
    <xf numFmtId="0" fontId="18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7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4" t="s">
        <v>171</v>
      </c>
      <c r="B9" s="25" t="s">
        <v>169</v>
      </c>
    </row>
    <row r="10" spans="1:3" x14ac:dyDescent="0.3">
      <c r="A10" s="33" t="s">
        <v>172</v>
      </c>
      <c r="B10" s="35">
        <v>25</v>
      </c>
    </row>
    <row r="11" spans="1:3" x14ac:dyDescent="0.3">
      <c r="A11" s="33" t="s">
        <v>55</v>
      </c>
      <c r="B11" s="35">
        <v>30</v>
      </c>
    </row>
    <row r="12" spans="1:3" x14ac:dyDescent="0.3">
      <c r="A12" s="33" t="s">
        <v>56</v>
      </c>
      <c r="B12" s="35">
        <v>10</v>
      </c>
    </row>
    <row r="13" spans="1:3" x14ac:dyDescent="0.3">
      <c r="A13" s="33" t="s">
        <v>85</v>
      </c>
      <c r="B13" s="35">
        <v>20</v>
      </c>
    </row>
    <row r="14" spans="1:3" x14ac:dyDescent="0.3">
      <c r="A14" s="33" t="s">
        <v>98</v>
      </c>
      <c r="B14" s="35">
        <v>40</v>
      </c>
    </row>
    <row r="15" spans="1:3" x14ac:dyDescent="0.3">
      <c r="A15" s="36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abSelected="1" topLeftCell="C1" zoomScale="68" zoomScaleNormal="100" workbookViewId="0">
      <pane ySplit="1" topLeftCell="A4" activePane="bottomLeft" state="frozen"/>
      <selection activeCell="B1" sqref="B1"/>
      <selection pane="bottomLeft" activeCell="F19" sqref="F19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3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3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3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3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3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3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3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3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3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3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3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3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3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3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3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3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3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3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3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3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3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3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3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3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3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3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3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3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3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3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3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3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3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3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3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3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3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3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3">
        <v>45162</v>
      </c>
    </row>
    <row r="41" spans="1:24" x14ac:dyDescent="0.3">
      <c r="H41" s="1">
        <f>SUMIF(H2:H40, "&gt;20",H2:H40)</f>
        <v>1473.0000000000002</v>
      </c>
    </row>
  </sheetData>
  <conditionalFormatting sqref="A1:A1048576">
    <cfRule type="duplicateValues" dxfId="1" priority="4"/>
  </conditionalFormatting>
  <conditionalFormatting sqref="B1:B1048576">
    <cfRule type="duplicateValues" dxfId="0" priority="3"/>
  </conditionalFormatting>
  <conditionalFormatting sqref="J1:J1048576">
    <cfRule type="colorScale" priority="1">
      <colorScale>
        <cfvo type="num" val="-1"/>
        <cfvo type="num" val="0"/>
        <color rgb="FFFF0000"/>
        <color rgb="FF00B050"/>
      </colorScale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28" sqref="B28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44" t="s">
        <v>177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15" zoomScaleNormal="100" workbookViewId="0">
      <selection activeCell="F25" sqref="F25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39" customFormat="1" ht="21" x14ac:dyDescent="0.4">
      <c r="A1" s="40" t="s">
        <v>55</v>
      </c>
      <c r="B1" s="39" t="s">
        <v>164</v>
      </c>
    </row>
    <row r="2" spans="1:7" s="39" customFormat="1" ht="21" x14ac:dyDescent="0.4">
      <c r="B2" s="39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7" t="s">
        <v>162</v>
      </c>
      <c r="B4" s="1"/>
      <c r="C4" s="1"/>
      <c r="D4" s="1"/>
      <c r="E4" s="1"/>
      <c r="F4" s="1"/>
      <c r="G4" s="1"/>
    </row>
    <row r="5" spans="1:7" ht="14.4" x14ac:dyDescent="0.3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4" x14ac:dyDescent="0.3">
      <c r="A6" s="7" t="s">
        <v>40</v>
      </c>
      <c r="B6" s="11">
        <f>INDEX(Dataset!$B$2:$X$40,MATCH(A6,Dataset!$A$2:$A$40,0),6)</f>
        <v>2.7</v>
      </c>
      <c r="C6" s="11">
        <f>INDEX(Dataset!$B$2:X40,MATCH(A6,Dataset!$A$2:$A$40,0),13)</f>
        <v>7.6</v>
      </c>
      <c r="D6" s="11">
        <f>INDEX(Dataset!$B$2:$X$40,MATCH(A6,Dataset!$A$2:$A$40,0),17)</f>
        <v>4.2</v>
      </c>
      <c r="E6" s="11">
        <f>INDEX(Dataset!$B$2:$X$40,MATCH(A6,Dataset!$A$2:$A$40,0),19)</f>
        <v>8.9</v>
      </c>
      <c r="F6" s="8">
        <f>INDEX(Dataset!$B$2:$X$40,MATCH(A6,Dataset!$A$2:$A$40,0),21)</f>
        <v>4.2</v>
      </c>
    </row>
    <row r="7" spans="1:7" ht="14.4" x14ac:dyDescent="0.3">
      <c r="A7" s="7" t="s">
        <v>4</v>
      </c>
      <c r="B7" s="11">
        <f>INDEX(Dataset!$B$2:$X$40,MATCH(A7,Dataset!$A$2:$A$40,0),6)</f>
        <v>2.7</v>
      </c>
      <c r="C7" s="11">
        <f>INDEX(Dataset!$B$2:X41,MATCH(A7,Dataset!$A$2:$A$40,0),13)</f>
        <v>7.6</v>
      </c>
      <c r="D7" s="11">
        <f>INDEX(Dataset!$B$2:$X$40,MATCH(A7,Dataset!$A$2:$A$40,0),17)</f>
        <v>4.2</v>
      </c>
      <c r="E7" s="11">
        <f>INDEX(Dataset!$B$2:$X$40,MATCH(A7,Dataset!$A$2:$A$40,0),19)</f>
        <v>8.9</v>
      </c>
      <c r="F7" s="8">
        <f>INDEX(Dataset!$B$2:$X$40,MATCH(A7,Dataset!$A$2:$A$40,0),21)</f>
        <v>4.2</v>
      </c>
    </row>
    <row r="8" spans="1:7" ht="14.4" x14ac:dyDescent="0.3">
      <c r="A8" s="7" t="s">
        <v>7</v>
      </c>
      <c r="B8" s="11">
        <f>INDEX(Dataset!$B$2:$X$40,MATCH(A8,Dataset!$A$2:$A$40,0),6)</f>
        <v>3.6</v>
      </c>
      <c r="C8" s="11">
        <f>INDEX(Dataset!$B$2:X42,MATCH(A8,Dataset!$A$2:$A$40,0),13)</f>
        <v>11.1</v>
      </c>
      <c r="D8" s="11">
        <f>INDEX(Dataset!$B$2:$X$40,MATCH(A8,Dataset!$A$2:$A$40,0),17)</f>
        <v>5.8</v>
      </c>
      <c r="E8" s="11">
        <f>INDEX(Dataset!$B$2:$X$40,MATCH(A8,Dataset!$A$2:$A$40,0),19)</f>
        <v>12.2</v>
      </c>
      <c r="F8" s="8">
        <f>INDEX(Dataset!$B$2:$X$40,MATCH(A8,Dataset!$A$2:$A$40,0),21)</f>
        <v>5.8</v>
      </c>
    </row>
    <row r="9" spans="1:7" ht="14.4" x14ac:dyDescent="0.3">
      <c r="A9" s="7" t="s">
        <v>8</v>
      </c>
      <c r="B9" s="11">
        <f>INDEX(Dataset!$B$2:$X$40,MATCH(A9,Dataset!$A$2:$A$40,0),6)</f>
        <v>4.9000000000000004</v>
      </c>
      <c r="C9" s="11">
        <f>INDEX(Dataset!$B$2:X43,MATCH(A9,Dataset!$A$2:$A$40,0),13)</f>
        <v>13.3</v>
      </c>
      <c r="D9" s="11">
        <f>INDEX(Dataset!$B$2:$X$40,MATCH(A9,Dataset!$A$2:$A$40,0),17)</f>
        <v>8.1</v>
      </c>
      <c r="E9" s="11">
        <f>INDEX(Dataset!$B$2:$X$40,MATCH(A9,Dataset!$A$2:$A$40,0),19)</f>
        <v>17</v>
      </c>
      <c r="F9" s="8">
        <f>INDEX(Dataset!$B$2:$X$40,MATCH(A9,Dataset!$A$2:$A$40,0),21)</f>
        <v>8.1</v>
      </c>
    </row>
    <row r="10" spans="1:7" ht="14.4" x14ac:dyDescent="0.3">
      <c r="A10" s="7" t="s">
        <v>11</v>
      </c>
      <c r="B10" s="11">
        <f>INDEX(Dataset!$B$2:$X$40,MATCH(A10,Dataset!$A$2:$A$40,0),6)</f>
        <v>9.4</v>
      </c>
      <c r="C10" s="11">
        <f>INDEX(Dataset!$B$2:X44,MATCH(A10,Dataset!$A$2:$A$40,0),13)</f>
        <v>28.3</v>
      </c>
      <c r="D10" s="11">
        <f>INDEX(Dataset!$B$2:$X$40,MATCH(A10,Dataset!$A$2:$A$40,0),17)</f>
        <v>16.100000000000001</v>
      </c>
      <c r="E10" s="11">
        <f>INDEX(Dataset!$B$2:$X$40,MATCH(A10,Dataset!$A$2:$A$40,0),19)</f>
        <v>32.799999999999997</v>
      </c>
      <c r="F10" s="8">
        <f>INDEX(Dataset!$B$2:$X$40,MATCH(A10,Dataset!$A$2:$A$40,0),21)</f>
        <v>16.100000000000001</v>
      </c>
    </row>
    <row r="11" spans="1:7" ht="14.4" x14ac:dyDescent="0.3">
      <c r="A11" s="7" t="s">
        <v>12</v>
      </c>
      <c r="B11" s="11">
        <f>INDEX(Dataset!$B$2:$X$40,MATCH(A11,Dataset!$A$2:$A$40,0),6)</f>
        <v>11.6</v>
      </c>
      <c r="C11" s="11">
        <f>INDEX(Dataset!$B$2:X45,MATCH(A11,Dataset!$A$2:$A$40,0),13)</f>
        <v>35.200000000000003</v>
      </c>
      <c r="D11" s="11">
        <f>INDEX(Dataset!$B$2:$X$40,MATCH(A11,Dataset!$A$2:$A$40,0),17)</f>
        <v>21.3</v>
      </c>
      <c r="E11" s="11">
        <f>INDEX(Dataset!$B$2:$X$40,MATCH(A11,Dataset!$A$2:$A$40,0),19)</f>
        <v>43</v>
      </c>
      <c r="F11" s="8">
        <f>INDEX(Dataset!$B$2:$X$40,MATCH(A11,Dataset!$A$2:$A$40,0),21)</f>
        <v>21.3</v>
      </c>
    </row>
    <row r="12" spans="1:7" ht="14.4" x14ac:dyDescent="0.3">
      <c r="A12" s="7" t="s">
        <v>14</v>
      </c>
      <c r="B12" s="11">
        <f>INDEX(Dataset!$B$2:$X$40,MATCH(A12,Dataset!$A$2:$A$40,0),6)</f>
        <v>18.399999999999999</v>
      </c>
      <c r="C12" s="11">
        <f>INDEX(Dataset!$B$2:X46,MATCH(A12,Dataset!$A$2:$A$40,0),13)</f>
        <v>55.6</v>
      </c>
      <c r="D12" s="11">
        <f>INDEX(Dataset!$B$2:$X$40,MATCH(A12,Dataset!$A$2:$A$40,0),17)</f>
        <v>33.799999999999997</v>
      </c>
      <c r="E12" s="11">
        <f>INDEX(Dataset!$B$2:$X$40,MATCH(A12,Dataset!$A$2:$A$40,0),19)</f>
        <v>67.900000000000006</v>
      </c>
      <c r="F12" s="8">
        <f>INDEX(Dataset!$B$2:$X$40,MATCH(A12,Dataset!$A$2:$A$40,0),21)</f>
        <v>33.799999999999997</v>
      </c>
    </row>
    <row r="13" spans="1:7" ht="14.4" x14ac:dyDescent="0.3">
      <c r="A13" s="7" t="s">
        <v>15</v>
      </c>
      <c r="B13" s="11">
        <f>INDEX(Dataset!$B$2:$X$40,MATCH(A13,Dataset!$A$2:$A$40,0),6)</f>
        <v>0</v>
      </c>
      <c r="C13" s="11">
        <f>INDEX(Dataset!$B$2:X47,MATCH(A13,Dataset!$A$2:$A$40,0),13)</f>
        <v>0</v>
      </c>
      <c r="D13" s="11">
        <f>INDEX(Dataset!$B$2:$X$40,MATCH(A13,Dataset!$A$2:$A$40,0),17)</f>
        <v>0</v>
      </c>
      <c r="E13" s="11">
        <f>INDEX(Dataset!$B$2:$X$40,MATCH(A13,Dataset!$A$2:$A$40,0),19)</f>
        <v>0</v>
      </c>
      <c r="F13" s="8">
        <f>INDEX(Dataset!$B$2:$X$40,MATCH(A13,Dataset!$A$2:$A$40,0),21)</f>
        <v>0</v>
      </c>
    </row>
    <row r="14" spans="1:7" ht="14.4" x14ac:dyDescent="0.3">
      <c r="A14" s="7" t="s">
        <v>16</v>
      </c>
      <c r="B14" s="11">
        <f>INDEX(Dataset!$B$2:$X$40,MATCH(A14,Dataset!$A$2:$A$40,0),6)</f>
        <v>21.9</v>
      </c>
      <c r="C14" s="11">
        <f>INDEX(Dataset!$B$2:X48,MATCH(A14,Dataset!$A$2:$A$40,0),13)</f>
        <v>61.5</v>
      </c>
      <c r="D14" s="11">
        <f>INDEX(Dataset!$B$2:$X$40,MATCH(A14,Dataset!$A$2:$A$40,0),17)</f>
        <v>40.1</v>
      </c>
      <c r="E14" s="11">
        <f>INDEX(Dataset!$B$2:$X$40,MATCH(A14,Dataset!$A$2:$A$40,0),19)</f>
        <v>76.599999999999994</v>
      </c>
      <c r="F14" s="8">
        <f>INDEX(Dataset!$B$2:$X$40,MATCH(A14,Dataset!$A$2:$A$40,0),21)</f>
        <v>40.1</v>
      </c>
    </row>
    <row r="15" spans="1:7" ht="14.4" x14ac:dyDescent="0.3">
      <c r="A15" s="7" t="s">
        <v>18</v>
      </c>
      <c r="B15" s="11">
        <f>INDEX(Dataset!$B$2:$X$40,MATCH(A15,Dataset!$A$2:$A$40,0),6)</f>
        <v>26.8</v>
      </c>
      <c r="C15" s="11">
        <f>INDEX(Dataset!$B$2:X49,MATCH(A15,Dataset!$A$2:$A$40,0),13)</f>
        <v>79.599999999999994</v>
      </c>
      <c r="D15" s="11">
        <f>INDEX(Dataset!$B$2:$X$40,MATCH(A15,Dataset!$A$2:$A$40,0),17)</f>
        <v>47.9</v>
      </c>
      <c r="E15" s="11">
        <f>INDEX(Dataset!$B$2:$X$40,MATCH(A15,Dataset!$A$2:$A$40,0),19)</f>
        <v>96.8</v>
      </c>
      <c r="F15" s="8">
        <f>INDEX(Dataset!$B$2:$X$40,MATCH(A15,Dataset!$A$2:$A$40,0),21)</f>
        <v>47.9</v>
      </c>
    </row>
    <row r="16" spans="1:7" ht="14.4" x14ac:dyDescent="0.3">
      <c r="A16" s="7" t="s">
        <v>20</v>
      </c>
      <c r="B16" s="11">
        <f>INDEX(Dataset!$B$2:$X$40,MATCH(A16,Dataset!$A$2:$A$40,0),6)</f>
        <v>28.5</v>
      </c>
      <c r="C16" s="11">
        <f>INDEX(Dataset!$B$2:X50,MATCH(A16,Dataset!$A$2:$A$40,0),13)</f>
        <v>85.4</v>
      </c>
      <c r="D16" s="11">
        <f>INDEX(Dataset!$B$2:$X$40,MATCH(A16,Dataset!$A$2:$A$40,0),17)</f>
        <v>52.3</v>
      </c>
      <c r="E16" s="11">
        <f>INDEX(Dataset!$B$2:$X$40,MATCH(A16,Dataset!$A$2:$A$40,0),19)</f>
        <v>106.1</v>
      </c>
      <c r="F16" s="8">
        <f>INDEX(Dataset!$B$2:$X$40,MATCH(A16,Dataset!$A$2:$A$40,0),21)</f>
        <v>52.3</v>
      </c>
    </row>
    <row r="17" spans="1:6" ht="14.4" x14ac:dyDescent="0.3">
      <c r="A17" s="7" t="s">
        <v>22</v>
      </c>
      <c r="B17" s="11">
        <f>INDEX(Dataset!$B$2:$X$40,MATCH(A17,Dataset!$A$2:$A$40,0),6)</f>
        <v>30.7</v>
      </c>
      <c r="C17" s="11">
        <f>INDEX(Dataset!$B$2:X51,MATCH(A17,Dataset!$A$2:$A$40,0),13)</f>
        <v>92.1</v>
      </c>
      <c r="D17" s="11">
        <f>INDEX(Dataset!$B$2:$X$40,MATCH(A17,Dataset!$A$2:$A$40,0),17)</f>
        <v>57</v>
      </c>
      <c r="E17" s="11">
        <f>INDEX(Dataset!$B$2:$X$40,MATCH(A17,Dataset!$A$2:$A$40,0),19)</f>
        <v>115.1</v>
      </c>
      <c r="F17" s="8">
        <f>INDEX(Dataset!$B$2:$X$40,MATCH(A17,Dataset!$A$2:$A$40,0),21)</f>
        <v>57</v>
      </c>
    </row>
    <row r="18" spans="1:6" ht="14.4" x14ac:dyDescent="0.3">
      <c r="A18" s="7" t="s">
        <v>23</v>
      </c>
      <c r="B18" s="11">
        <f>INDEX(Dataset!$B$2:$X$40,MATCH(A18,Dataset!$A$2:$A$40,0),6)</f>
        <v>33.799999999999997</v>
      </c>
      <c r="C18" s="11">
        <f>INDEX(Dataset!$B$2:X52,MATCH(A18,Dataset!$A$2:$A$40,0),13)</f>
        <v>101.3</v>
      </c>
      <c r="D18" s="11">
        <f>INDEX(Dataset!$B$2:$X$40,MATCH(A18,Dataset!$A$2:$A$40,0),17)</f>
        <v>61.4</v>
      </c>
      <c r="E18" s="11">
        <f>INDEX(Dataset!$B$2:$X$40,MATCH(A18,Dataset!$A$2:$A$40,0),19)</f>
        <v>124.4</v>
      </c>
      <c r="F18" s="8">
        <f>INDEX(Dataset!$B$2:$X$40,MATCH(A18,Dataset!$A$2:$A$40,0),21)</f>
        <v>61.4</v>
      </c>
    </row>
    <row r="19" spans="1:6" ht="14.4" x14ac:dyDescent="0.3">
      <c r="A19" s="7" t="s">
        <v>24</v>
      </c>
      <c r="B19" s="11">
        <f>INDEX(Dataset!$B$2:$X$40,MATCH(A19,Dataset!$A$2:$A$40,0),6)</f>
        <v>34.700000000000003</v>
      </c>
      <c r="C19" s="11">
        <f>INDEX(Dataset!$B$2:X53,MATCH(A19,Dataset!$A$2:$A$40,0),13)</f>
        <v>106.1</v>
      </c>
      <c r="D19" s="11">
        <f>INDEX(Dataset!$B$2:$X$40,MATCH(A19,Dataset!$A$2:$A$40,0),17)</f>
        <v>63.6</v>
      </c>
      <c r="E19" s="11">
        <f>INDEX(Dataset!$B$2:$X$40,MATCH(A19,Dataset!$A$2:$A$40,0),19)</f>
        <v>128.6</v>
      </c>
      <c r="F19" s="8">
        <f>INDEX(Dataset!$B$2:$X$40,MATCH(A19,Dataset!$A$2:$A$40,0),21)</f>
        <v>63.6</v>
      </c>
    </row>
    <row r="20" spans="1:6" ht="14.4" x14ac:dyDescent="0.3">
      <c r="A20" s="7" t="s">
        <v>28</v>
      </c>
      <c r="B20" s="11">
        <f>INDEX(Dataset!$B$2:$X$40,MATCH(A20,Dataset!$A$2:$A$40,0),6)</f>
        <v>0</v>
      </c>
      <c r="C20" s="11">
        <f>INDEX(Dataset!$B$2:X54,MATCH(A20,Dataset!$A$2:$A$40,0),13)</f>
        <v>0</v>
      </c>
      <c r="D20" s="11">
        <f>INDEX(Dataset!$B$2:$X$40,MATCH(A20,Dataset!$A$2:$A$40,0),17)</f>
        <v>0</v>
      </c>
      <c r="E20" s="11">
        <f>INDEX(Dataset!$B$2:$X$40,MATCH(A20,Dataset!$A$2:$A$40,0),19)</f>
        <v>0</v>
      </c>
      <c r="F20" s="8">
        <f>INDEX(Dataset!$B$2:$X$40,MATCH(A20,Dataset!$A$2:$A$40,0),21)</f>
        <v>0</v>
      </c>
    </row>
    <row r="21" spans="1:6" ht="14.4" x14ac:dyDescent="0.3">
      <c r="A21" s="7" t="s">
        <v>57</v>
      </c>
      <c r="B21" s="11">
        <f>INDEX(Dataset!$B$2:$X$40,MATCH(A21,Dataset!$A$2:$A$40,0),6)</f>
        <v>41.3</v>
      </c>
      <c r="C21" s="11">
        <f>INDEX(Dataset!$B$2:X55,MATCH(A21,Dataset!$A$2:$A$40,0),13)</f>
        <v>124.4</v>
      </c>
      <c r="D21" s="11">
        <f>INDEX(Dataset!$B$2:$X$40,MATCH(A21,Dataset!$A$2:$A$40,0),17)</f>
        <v>75</v>
      </c>
      <c r="E21" s="11">
        <f>INDEX(Dataset!$B$2:$X$40,MATCH(A21,Dataset!$A$2:$A$40,0),19)</f>
        <v>151.5</v>
      </c>
      <c r="F21" s="8">
        <f>INDEX(Dataset!$B$2:$X$40,MATCH(A21,Dataset!$A$2:$A$40,0),21)</f>
        <v>75</v>
      </c>
    </row>
    <row r="22" spans="1:6" ht="14.4" x14ac:dyDescent="0.3">
      <c r="A22" s="7" t="s">
        <v>58</v>
      </c>
      <c r="B22" s="11">
        <f>INDEX(Dataset!$B$2:$X$40,MATCH(A22,Dataset!$A$2:$A$40,0),6)</f>
        <v>-1</v>
      </c>
      <c r="C22" s="11">
        <f>INDEX(Dataset!$B$2:X56,MATCH(A22,Dataset!$A$2:$A$40,0),13)</f>
        <v>-1</v>
      </c>
      <c r="D22" s="11">
        <f>INDEX(Dataset!$B$2:$X$40,MATCH(A22,Dataset!$A$2:$A$40,0),17)</f>
        <v>-1</v>
      </c>
      <c r="E22" s="11">
        <f>INDEX(Dataset!$B$2:$X$40,MATCH(A22,Dataset!$A$2:$A$40,0),19)</f>
        <v>-1</v>
      </c>
      <c r="F22" s="8">
        <f>INDEX(Dataset!$B$2:$X$40,MATCH(A22,Dataset!$A$2:$A$40,0),21)</f>
        <v>-1</v>
      </c>
    </row>
    <row r="23" spans="1:6" ht="14.4" x14ac:dyDescent="0.3">
      <c r="A23" s="7" t="s">
        <v>31</v>
      </c>
      <c r="B23" s="11">
        <f>INDEX(Dataset!$B$2:$X$40,MATCH(A23,Dataset!$A$2:$A$40,0),6)</f>
        <v>45</v>
      </c>
      <c r="C23" s="11">
        <f>INDEX(Dataset!$B$2:X57,MATCH(A23,Dataset!$A$2:$A$40,0),13)</f>
        <v>133.4</v>
      </c>
      <c r="D23" s="11">
        <f>INDEX(Dataset!$B$2:$X$40,MATCH(A23,Dataset!$A$2:$A$40,0),17)</f>
        <v>79.400000000000006</v>
      </c>
      <c r="E23" s="11">
        <f>INDEX(Dataset!$B$2:$X$40,MATCH(A23,Dataset!$A$2:$A$40,0),19)</f>
        <v>160.9</v>
      </c>
      <c r="F23" s="8">
        <f>INDEX(Dataset!$B$2:$X$40,MATCH(A23,Dataset!$A$2:$A$40,0),21)</f>
        <v>79.400000000000006</v>
      </c>
    </row>
    <row r="24" spans="1:6" ht="14.4" x14ac:dyDescent="0.3">
      <c r="A24" s="7" t="s">
        <v>32</v>
      </c>
      <c r="B24" s="11">
        <f>INDEX(Dataset!$B$2:$X$40,MATCH(A24,Dataset!$A$2:$A$40,0),6)</f>
        <v>-1</v>
      </c>
      <c r="C24" s="11">
        <f>INDEX(Dataset!$B$2:X58,MATCH(A24,Dataset!$A$2:$A$40,0),13)</f>
        <v>-1</v>
      </c>
      <c r="D24" s="11">
        <f>INDEX(Dataset!$B$2:$X$40,MATCH(A24,Dataset!$A$2:$A$40,0),17)</f>
        <v>-1</v>
      </c>
      <c r="E24" s="11">
        <f>INDEX(Dataset!$B$2:$X$40,MATCH(A24,Dataset!$A$2:$A$40,0),19)</f>
        <v>-1</v>
      </c>
      <c r="F24" s="8">
        <f>INDEX(Dataset!$B$2:$X$40,MATCH(A24,Dataset!$A$2:$A$40,0),21)</f>
        <v>-1</v>
      </c>
    </row>
    <row r="25" spans="1:6" ht="14.4" x14ac:dyDescent="0.3">
      <c r="A25" s="7" t="s">
        <v>34</v>
      </c>
      <c r="B25" s="11">
        <f>INDEX(Dataset!$B$2:$X$40,MATCH(A25,Dataset!$A$2:$A$40,0),6)</f>
        <v>43.3</v>
      </c>
      <c r="C25" s="11">
        <f>INDEX(Dataset!$B$2:X59,MATCH(A25,Dataset!$A$2:$A$40,0),13)</f>
        <v>128.6</v>
      </c>
      <c r="D25" s="11">
        <f>INDEX(Dataset!$B$2:$X$40,MATCH(A25,Dataset!$A$2:$A$40,0),17)</f>
        <v>79.400000000000006</v>
      </c>
      <c r="E25" s="11">
        <f>INDEX(Dataset!$B$2:$X$40,MATCH(A25,Dataset!$A$2:$A$40,0),19)</f>
        <v>160.9</v>
      </c>
      <c r="F25" s="8">
        <f>INDEX(Dataset!$B$2:$X$40,MATCH(A25,Dataset!$A$2:$A$40,0),21)</f>
        <v>79.400000000000006</v>
      </c>
    </row>
    <row r="26" spans="1:6" ht="14.4" x14ac:dyDescent="0.3">
      <c r="A26" s="7" t="s">
        <v>37</v>
      </c>
      <c r="B26" s="11">
        <f>INDEX(Dataset!$B$2:$X$40,MATCH(A26,Dataset!$A$2:$A$40,0),6)</f>
        <v>49.1</v>
      </c>
      <c r="C26" s="11">
        <f>INDEX(Dataset!$B$2:X60,MATCH(A26,Dataset!$A$2:$A$40,0),13)</f>
        <v>146.80000000000001</v>
      </c>
      <c r="D26" s="11">
        <f>INDEX(Dataset!$B$2:$X$40,MATCH(A26,Dataset!$A$2:$A$40,0),17)</f>
        <v>90.9</v>
      </c>
      <c r="E26" s="11">
        <f>INDEX(Dataset!$B$2:$X$40,MATCH(A26,Dataset!$A$2:$A$40,0),19)</f>
        <v>183.5</v>
      </c>
      <c r="F26" s="8">
        <f>INDEX(Dataset!$B$2:$X$40,MATCH(A26,Dataset!$A$2:$A$40,0),21)</f>
        <v>90.9</v>
      </c>
    </row>
    <row r="27" spans="1:6" ht="14.4" x14ac:dyDescent="0.3">
      <c r="A27" s="7" t="s">
        <v>39</v>
      </c>
      <c r="B27" s="11">
        <f>INDEX(Dataset!$B$2:$X$40,MATCH(A27,Dataset!$A$2:$A$40,0),6)</f>
        <v>51.8</v>
      </c>
      <c r="C27" s="11">
        <f>INDEX(Dataset!$B$2:X61,MATCH(A27,Dataset!$A$2:$A$40,0),13)</f>
        <v>156.4</v>
      </c>
      <c r="D27" s="11">
        <f>INDEX(Dataset!$B$2:$X$40,MATCH(A27,Dataset!$A$2:$A$40,0),17)</f>
        <v>93.1</v>
      </c>
      <c r="E27" s="11">
        <f>INDEX(Dataset!$B$2:$X$40,MATCH(A27,Dataset!$A$2:$A$40,0),19)</f>
        <v>188.1</v>
      </c>
      <c r="F27" s="8">
        <f>INDEX(Dataset!$B$2:$X$40,MATCH(A27,Dataset!$A$2:$A$40,0),21)</f>
        <v>93.1</v>
      </c>
    </row>
    <row r="28" spans="1:6" ht="14.4" x14ac:dyDescent="0.3">
      <c r="A28" s="18" t="s">
        <v>82</v>
      </c>
      <c r="B28" s="30">
        <f>MIN(B6:B27)</f>
        <v>-1</v>
      </c>
      <c r="C28" s="30">
        <f>MIN(C6:C27)</f>
        <v>-1</v>
      </c>
      <c r="D28" s="30">
        <f>MIN(D6:D27)</f>
        <v>-1</v>
      </c>
      <c r="E28" s="30">
        <f>MIN(E6:E27)</f>
        <v>-1</v>
      </c>
      <c r="F28" s="30">
        <f>MIN(F6:F27)</f>
        <v>-1</v>
      </c>
    </row>
    <row r="29" spans="1:6" ht="14.4" x14ac:dyDescent="0.3">
      <c r="A29" s="18" t="s">
        <v>83</v>
      </c>
      <c r="B29" s="30">
        <f>MAX(B6:B27)</f>
        <v>51.8</v>
      </c>
      <c r="C29" s="30">
        <f>MAX(C6:C27)</f>
        <v>156.4</v>
      </c>
      <c r="D29" s="30">
        <f>MAX(D6:D27)</f>
        <v>93.1</v>
      </c>
      <c r="E29" s="30">
        <f>MAX(E6:E27)</f>
        <v>188.1</v>
      </c>
      <c r="F29" s="30">
        <f>MAX(F6:F27)</f>
        <v>93.1</v>
      </c>
    </row>
    <row r="30" spans="1:6" ht="14.4" x14ac:dyDescent="0.3">
      <c r="A30" s="18" t="s">
        <v>84</v>
      </c>
      <c r="B30" s="30">
        <f>AVERAGE(B6:B27)</f>
        <v>20.827272727272728</v>
      </c>
      <c r="C30" s="30">
        <f>AVERAGE(C6:C27)</f>
        <v>62.377272727272725</v>
      </c>
      <c r="D30" s="30">
        <f>AVERAGE(D6:D27)</f>
        <v>37.800000000000004</v>
      </c>
      <c r="E30" s="30">
        <f>AVERAGE(E6:E27)</f>
        <v>76.418181818181822</v>
      </c>
      <c r="F30" s="30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A16" sqref="A16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39" customFormat="1" ht="21" x14ac:dyDescent="0.4">
      <c r="A1" s="40" t="s">
        <v>56</v>
      </c>
      <c r="B1" s="39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1" t="s">
        <v>53</v>
      </c>
      <c r="B5" s="45" t="s">
        <v>178</v>
      </c>
    </row>
    <row r="6" spans="1:10" ht="18" x14ac:dyDescent="0.35">
      <c r="A6" s="41" t="s">
        <v>153</v>
      </c>
      <c r="B6" s="45" t="s">
        <v>179</v>
      </c>
    </row>
    <row r="7" spans="1:10" ht="18" x14ac:dyDescent="0.35">
      <c r="A7" s="41"/>
      <c r="B7" s="38"/>
    </row>
    <row r="9" spans="1:10" ht="23.4" x14ac:dyDescent="0.45">
      <c r="A9" s="17" t="s">
        <v>165</v>
      </c>
      <c r="I9" s="2"/>
      <c r="J9" s="2"/>
    </row>
    <row r="10" spans="1:10" x14ac:dyDescent="0.3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">
      <c r="A11" s="9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7" t="s">
        <v>162</v>
      </c>
    </row>
    <row r="15" spans="1:10" x14ac:dyDescent="0.3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">
      <c r="A16" s="7" t="s">
        <v>121</v>
      </c>
      <c r="B16" s="7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3">
      <c r="A17" s="7" t="s">
        <v>122</v>
      </c>
      <c r="B17" s="7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3">
      <c r="A18" s="7" t="s">
        <v>123</v>
      </c>
      <c r="B18" s="7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">
      <c r="A19" s="7" t="s">
        <v>124</v>
      </c>
      <c r="B19" s="7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">
      <c r="A20" s="7" t="s">
        <v>125</v>
      </c>
      <c r="B20" s="7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">
      <c r="A21" s="7" t="s">
        <v>126</v>
      </c>
      <c r="B21" s="7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">
      <c r="A22" s="7" t="s">
        <v>127</v>
      </c>
      <c r="B22" s="7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">
      <c r="A23" s="7" t="s">
        <v>128</v>
      </c>
      <c r="B23" s="7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">
      <c r="A24" s="7" t="s">
        <v>129</v>
      </c>
      <c r="B24" s="7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">
      <c r="A25" s="7" t="s">
        <v>130</v>
      </c>
      <c r="B25" s="7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">
      <c r="A26" s="7" t="s">
        <v>131</v>
      </c>
      <c r="B26" s="7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">
      <c r="A27" s="7" t="s">
        <v>132</v>
      </c>
      <c r="B27" s="7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">
      <c r="A28" s="7" t="s">
        <v>133</v>
      </c>
      <c r="B28" s="7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">
      <c r="A29" s="7" t="s">
        <v>134</v>
      </c>
      <c r="B29" s="7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">
      <c r="A30" s="7" t="s">
        <v>135</v>
      </c>
      <c r="B30" s="7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">
      <c r="A31" s="7" t="s">
        <v>136</v>
      </c>
      <c r="B31" s="7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">
      <c r="A32" s="7" t="s">
        <v>137</v>
      </c>
      <c r="B32" s="7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">
      <c r="A33" s="7" t="s">
        <v>138</v>
      </c>
      <c r="B33" s="7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">
      <c r="A34" s="7" t="s">
        <v>139</v>
      </c>
      <c r="B34" s="7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">
      <c r="A35" s="7" t="s">
        <v>140</v>
      </c>
      <c r="B35" s="7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">
      <c r="A36" s="7" t="s">
        <v>141</v>
      </c>
      <c r="B36" s="7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">
      <c r="A37" s="7" t="s">
        <v>142</v>
      </c>
      <c r="B37" s="7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">
      <c r="A38" s="7" t="s">
        <v>143</v>
      </c>
      <c r="B38" s="7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">
      <c r="A39" s="7" t="s">
        <v>144</v>
      </c>
      <c r="B39" s="7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">
      <c r="A40" s="7" t="s">
        <v>145</v>
      </c>
      <c r="B40" s="7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">
      <c r="A41" s="7" t="s">
        <v>146</v>
      </c>
      <c r="B41" s="7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">
      <c r="A42" s="7" t="s">
        <v>147</v>
      </c>
      <c r="B42" s="7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">
      <c r="A43" s="7" t="s">
        <v>148</v>
      </c>
      <c r="B43" s="7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">
      <c r="A44" s="7" t="s">
        <v>149</v>
      </c>
      <c r="B44" s="7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">
      <c r="A45" s="7" t="s">
        <v>150</v>
      </c>
      <c r="B45" s="7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">
      <c r="A46" s="7" t="s">
        <v>112</v>
      </c>
      <c r="B46" s="7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">
      <c r="A47" s="7" t="s">
        <v>113</v>
      </c>
      <c r="B47" s="7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">
      <c r="A48" s="7" t="s">
        <v>114</v>
      </c>
      <c r="B48" s="7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">
      <c r="A49" s="7" t="s">
        <v>115</v>
      </c>
      <c r="B49" s="7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">
      <c r="A50" s="7" t="s">
        <v>116</v>
      </c>
      <c r="B50" s="7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">
      <c r="A51" s="7" t="s">
        <v>117</v>
      </c>
      <c r="B51" s="7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">
      <c r="A52" s="7" t="s">
        <v>118</v>
      </c>
      <c r="B52" s="7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">
      <c r="A53" s="7" t="s">
        <v>119</v>
      </c>
      <c r="B53" s="7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">
      <c r="A54" s="9" t="s">
        <v>120</v>
      </c>
      <c r="B54" s="9">
        <v>21016</v>
      </c>
      <c r="C54" s="1" t="s">
        <v>5</v>
      </c>
      <c r="D54" s="11">
        <v>0</v>
      </c>
      <c r="E54" s="1" t="s">
        <v>6</v>
      </c>
      <c r="F54" s="11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C9" sqref="C9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0" t="s">
        <v>85</v>
      </c>
      <c r="B1" s="39" t="s">
        <v>167</v>
      </c>
    </row>
    <row r="2" spans="1:3" ht="18" x14ac:dyDescent="0.35">
      <c r="B2" s="38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" t="s">
        <v>181</v>
      </c>
    </row>
    <row r="7" spans="1:3" ht="14.4" x14ac:dyDescent="0.3">
      <c r="A7" s="3" t="s">
        <v>153</v>
      </c>
      <c r="B7" s="1" t="s">
        <v>180</v>
      </c>
    </row>
    <row r="10" spans="1:3" ht="23.4" x14ac:dyDescent="0.45">
      <c r="A10" s="17" t="s">
        <v>162</v>
      </c>
    </row>
    <row r="11" spans="1:3" ht="14.4" x14ac:dyDescent="0.3">
      <c r="A11" s="31" t="s">
        <v>86</v>
      </c>
      <c r="B11" s="16" t="s">
        <v>87</v>
      </c>
      <c r="C11" s="16" t="s">
        <v>88</v>
      </c>
    </row>
    <row r="12" spans="1:3" ht="14.4" x14ac:dyDescent="0.3">
      <c r="A12" s="31">
        <v>44927</v>
      </c>
      <c r="B12" s="16" t="s">
        <v>59</v>
      </c>
      <c r="C12" s="16">
        <v>200</v>
      </c>
    </row>
    <row r="13" spans="1:3" ht="14.4" x14ac:dyDescent="0.3">
      <c r="A13" s="31">
        <v>44928</v>
      </c>
      <c r="B13" s="16" t="s">
        <v>60</v>
      </c>
      <c r="C13" s="16">
        <v>20</v>
      </c>
    </row>
    <row r="14" spans="1:3" ht="14.4" x14ac:dyDescent="0.3">
      <c r="A14" s="31">
        <v>44929</v>
      </c>
      <c r="B14" s="16" t="s">
        <v>61</v>
      </c>
      <c r="C14" s="16">
        <v>50</v>
      </c>
    </row>
    <row r="15" spans="1:3" ht="14.4" x14ac:dyDescent="0.3">
      <c r="A15" s="31">
        <v>44930</v>
      </c>
      <c r="B15" s="16" t="s">
        <v>62</v>
      </c>
      <c r="C15" s="16">
        <v>20</v>
      </c>
    </row>
    <row r="16" spans="1:3" ht="14.4" x14ac:dyDescent="0.3">
      <c r="A16" s="31">
        <v>44931</v>
      </c>
      <c r="B16" s="16" t="s">
        <v>63</v>
      </c>
      <c r="C16" s="16">
        <v>10</v>
      </c>
    </row>
    <row r="17" spans="1:3" ht="14.4" x14ac:dyDescent="0.3">
      <c r="A17" s="31">
        <v>44932</v>
      </c>
      <c r="B17" s="16" t="s">
        <v>154</v>
      </c>
      <c r="C17" s="16">
        <v>150</v>
      </c>
    </row>
    <row r="18" spans="1:3" ht="14.4" x14ac:dyDescent="0.3">
      <c r="A18" s="31">
        <v>44933</v>
      </c>
      <c r="B18" s="16" t="s">
        <v>155</v>
      </c>
      <c r="C18" s="16">
        <v>80</v>
      </c>
    </row>
    <row r="19" spans="1:3" ht="14.4" x14ac:dyDescent="0.3">
      <c r="A19" s="31">
        <v>44934</v>
      </c>
      <c r="B19" s="16" t="s">
        <v>156</v>
      </c>
      <c r="C19" s="16">
        <v>20</v>
      </c>
    </row>
    <row r="20" spans="1:3" ht="14.4" x14ac:dyDescent="0.3">
      <c r="A20" s="31">
        <v>44935</v>
      </c>
      <c r="B20" s="16" t="s">
        <v>157</v>
      </c>
      <c r="C20" s="16">
        <v>30</v>
      </c>
    </row>
    <row r="21" spans="1:3" ht="14.4" x14ac:dyDescent="0.3">
      <c r="A21" s="31">
        <v>44936</v>
      </c>
      <c r="B21" s="16" t="s">
        <v>158</v>
      </c>
      <c r="C21" s="16">
        <v>20</v>
      </c>
    </row>
    <row r="22" spans="1:3" ht="14.4" x14ac:dyDescent="0.3">
      <c r="B22" s="16" t="s">
        <v>159</v>
      </c>
      <c r="C22" s="24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6"/>
  <sheetViews>
    <sheetView topLeftCell="A3" zoomScale="78" zoomScaleNormal="100" workbookViewId="0">
      <selection activeCell="C23" sqref="C23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0" t="s">
        <v>98</v>
      </c>
      <c r="B1" s="39" t="s">
        <v>175</v>
      </c>
    </row>
    <row r="3" spans="1:14" ht="14.4" x14ac:dyDescent="0.3">
      <c r="B3" s="1" t="s">
        <v>151</v>
      </c>
    </row>
    <row r="4" spans="1:14" ht="18" x14ac:dyDescent="0.35">
      <c r="A4" s="41" t="s">
        <v>53</v>
      </c>
      <c r="B4" s="1"/>
      <c r="C4" s="2" t="s">
        <v>182</v>
      </c>
    </row>
    <row r="5" spans="1:14" ht="18" x14ac:dyDescent="0.35">
      <c r="A5" s="41" t="s">
        <v>153</v>
      </c>
      <c r="B5" s="46" t="s">
        <v>183</v>
      </c>
    </row>
    <row r="6" spans="1:14" ht="14.4" x14ac:dyDescent="0.3">
      <c r="A6" s="3"/>
      <c r="B6" s="1"/>
    </row>
    <row r="8" spans="1:14" ht="23.4" x14ac:dyDescent="0.45">
      <c r="A8" s="17" t="s">
        <v>162</v>
      </c>
      <c r="M8" s="17" t="s">
        <v>163</v>
      </c>
    </row>
    <row r="9" spans="1:14" ht="14.4" x14ac:dyDescent="0.3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4" x14ac:dyDescent="0.3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4" x14ac:dyDescent="0.3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4" x14ac:dyDescent="0.3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4" x14ac:dyDescent="0.3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4" x14ac:dyDescent="0.3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4" x14ac:dyDescent="0.3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4" x14ac:dyDescent="0.3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4" x14ac:dyDescent="0.3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4" x14ac:dyDescent="0.3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4" x14ac:dyDescent="0.45">
      <c r="A21" s="17" t="s">
        <v>168</v>
      </c>
    </row>
    <row r="22" spans="1:14" ht="14.4" x14ac:dyDescent="0.3">
      <c r="A22" s="13" t="s">
        <v>100</v>
      </c>
      <c r="B22" s="16" t="s">
        <v>101</v>
      </c>
      <c r="C22" s="15" t="s">
        <v>102</v>
      </c>
    </row>
    <row r="23" spans="1:14" ht="14.4" x14ac:dyDescent="0.3">
      <c r="A23" s="7">
        <v>10100</v>
      </c>
      <c r="B23" s="11">
        <v>10102</v>
      </c>
      <c r="C23" s="42">
        <f>INDEX($B$9:$J$18, MATCH(VLOOKUP(A23, $M$9:$N$18, 2, FALSE), $A$9:$A$18, 0), MATCH(VLOOKUP(B23, $M$9:$N$18, 2, FALSE), $B$9:$J$9, 0))</f>
        <v>95</v>
      </c>
    </row>
    <row r="24" spans="1:14" ht="14.4" x14ac:dyDescent="0.3">
      <c r="A24" s="7">
        <v>10100</v>
      </c>
      <c r="B24" s="11">
        <v>10104</v>
      </c>
      <c r="C24" s="42">
        <f t="shared" ref="C24:C35" si="0">INDEX($B$9:$J$18, MATCH(VLOOKUP(A24, $M$9:$N$18, 2, FALSE), $A$9:$A$18, 0), MATCH(VLOOKUP(B24, $M$9:$N$18, 2, FALSE), $B$9:$J$9, 0))</f>
        <v>-1</v>
      </c>
    </row>
    <row r="25" spans="1:14" ht="14.4" x14ac:dyDescent="0.3">
      <c r="A25" s="7">
        <v>10108</v>
      </c>
      <c r="B25" s="11">
        <v>10102</v>
      </c>
      <c r="C25" s="42">
        <f t="shared" si="0"/>
        <v>160</v>
      </c>
    </row>
    <row r="26" spans="1:14" ht="14.4" x14ac:dyDescent="0.3">
      <c r="A26" s="7">
        <v>10100</v>
      </c>
      <c r="B26" s="11">
        <v>10106</v>
      </c>
      <c r="C26" s="42">
        <f t="shared" si="0"/>
        <v>185</v>
      </c>
    </row>
    <row r="27" spans="1:14" ht="14.4" x14ac:dyDescent="0.3">
      <c r="A27" s="7">
        <v>10108</v>
      </c>
      <c r="B27" s="11">
        <v>10110</v>
      </c>
      <c r="C27" s="42">
        <f t="shared" si="0"/>
        <v>50</v>
      </c>
    </row>
    <row r="28" spans="1:14" ht="14.4" x14ac:dyDescent="0.3">
      <c r="A28" s="7">
        <v>10102</v>
      </c>
      <c r="B28" s="11">
        <v>10104</v>
      </c>
      <c r="C28" s="42">
        <f t="shared" si="0"/>
        <v>-1</v>
      </c>
    </row>
    <row r="29" spans="1:14" ht="14.4" x14ac:dyDescent="0.3">
      <c r="A29" s="7">
        <v>10106</v>
      </c>
      <c r="B29" s="11">
        <v>10108</v>
      </c>
      <c r="C29" s="42">
        <f t="shared" si="0"/>
        <v>70</v>
      </c>
    </row>
    <row r="30" spans="1:14" ht="14.4" x14ac:dyDescent="0.3">
      <c r="A30" s="7">
        <v>10102</v>
      </c>
      <c r="B30" s="11">
        <v>10106</v>
      </c>
      <c r="C30" s="42">
        <f t="shared" si="0"/>
        <v>90</v>
      </c>
    </row>
    <row r="31" spans="1:14" ht="14.4" x14ac:dyDescent="0.3">
      <c r="A31" s="7">
        <v>10110</v>
      </c>
      <c r="B31" s="11">
        <v>10114</v>
      </c>
      <c r="C31" s="42">
        <f t="shared" si="0"/>
        <v>180</v>
      </c>
    </row>
    <row r="32" spans="1:14" ht="14.4" x14ac:dyDescent="0.3">
      <c r="A32" s="7">
        <v>10104</v>
      </c>
      <c r="B32" s="11">
        <v>10106</v>
      </c>
      <c r="C32" s="42">
        <f t="shared" si="0"/>
        <v>60</v>
      </c>
    </row>
    <row r="33" spans="1:3" ht="14.4" x14ac:dyDescent="0.3">
      <c r="A33" s="7">
        <v>10110</v>
      </c>
      <c r="B33" s="11">
        <v>10112</v>
      </c>
      <c r="C33" s="42">
        <f t="shared" si="0"/>
        <v>115</v>
      </c>
    </row>
    <row r="34" spans="1:3" ht="14.4" x14ac:dyDescent="0.3">
      <c r="A34" s="7">
        <v>10100</v>
      </c>
      <c r="B34" s="11">
        <v>10114</v>
      </c>
      <c r="C34" s="42">
        <f t="shared" si="0"/>
        <v>480</v>
      </c>
    </row>
    <row r="35" spans="1:3" ht="14.4" x14ac:dyDescent="0.3">
      <c r="A35" s="9">
        <v>10112</v>
      </c>
      <c r="B35" s="12">
        <v>10116</v>
      </c>
      <c r="C35" s="42">
        <f t="shared" si="0"/>
        <v>105</v>
      </c>
    </row>
    <row r="36" spans="1:3" x14ac:dyDescent="0.3">
      <c r="C36" s="4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Stephine Eliza Varghese</cp:lastModifiedBy>
  <dcterms:created xsi:type="dcterms:W3CDTF">2015-02-10T17:33:11Z</dcterms:created>
  <dcterms:modified xsi:type="dcterms:W3CDTF">2023-12-10T18:25:05Z</dcterms:modified>
</cp:coreProperties>
</file>